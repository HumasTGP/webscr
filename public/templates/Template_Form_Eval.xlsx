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EEN DIVANYA\Documents\Dokumen Magang\"/>
    </mc:Choice>
  </mc:AlternateContent>
  <xr:revisionPtr revIDLastSave="0" documentId="8_{15006702-74E7-499F-8B93-36ED8E9CF96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Eval 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N29" i="1"/>
  <c r="M29" i="1"/>
  <c r="H29" i="1"/>
  <c r="G29" i="1"/>
  <c r="F29" i="1"/>
  <c r="P29" i="1" s="1"/>
  <c r="R29" i="1" s="1"/>
  <c r="E29" i="1"/>
  <c r="D29" i="1"/>
  <c r="N27" i="1"/>
  <c r="M27" i="1"/>
  <c r="H27" i="1"/>
  <c r="G27" i="1"/>
  <c r="F27" i="1"/>
  <c r="E27" i="1"/>
  <c r="D27" i="1"/>
  <c r="M25" i="1"/>
  <c r="L25" i="1"/>
  <c r="F25" i="1"/>
  <c r="E25" i="1"/>
  <c r="D25" i="1"/>
  <c r="P25" i="1" s="1"/>
  <c r="R25" i="1" s="1"/>
  <c r="O23" i="1"/>
  <c r="H23" i="1"/>
  <c r="G23" i="1"/>
  <c r="P23" i="1" s="1"/>
  <c r="R23" i="1" s="1"/>
  <c r="F23" i="1"/>
  <c r="E23" i="1"/>
  <c r="D23" i="1"/>
  <c r="L21" i="1"/>
  <c r="H21" i="1"/>
  <c r="G21" i="1"/>
  <c r="E21" i="1"/>
  <c r="D21" i="1"/>
  <c r="P21" i="1" s="1"/>
  <c r="R21" i="1" s="1"/>
  <c r="N19" i="1"/>
  <c r="H19" i="1"/>
  <c r="G19" i="1"/>
  <c r="F19" i="1"/>
  <c r="E19" i="1"/>
  <c r="D19" i="1"/>
  <c r="N17" i="1"/>
  <c r="M17" i="1"/>
  <c r="G17" i="1"/>
  <c r="F17" i="1"/>
  <c r="E17" i="1"/>
  <c r="D17" i="1"/>
  <c r="P17" i="1" s="1"/>
  <c r="R17" i="1" s="1"/>
  <c r="M15" i="1"/>
  <c r="L15" i="1"/>
  <c r="G15" i="1"/>
  <c r="F15" i="1"/>
  <c r="E15" i="1"/>
  <c r="D15" i="1"/>
  <c r="N13" i="1"/>
  <c r="G13" i="1"/>
  <c r="F13" i="1"/>
  <c r="E13" i="1"/>
  <c r="D13" i="1"/>
  <c r="P13" i="1" s="1"/>
  <c r="R13" i="1" s="1"/>
  <c r="C8" i="1"/>
  <c r="C7" i="1"/>
  <c r="P19" i="1" l="1"/>
  <c r="R19" i="1" s="1"/>
  <c r="P15" i="1"/>
  <c r="R15" i="1" s="1"/>
  <c r="P27" i="1"/>
  <c r="R27" i="1" s="1"/>
  <c r="Q30" i="1" l="1"/>
  <c r="L37" i="1" s="1"/>
</calcChain>
</file>

<file path=xl/sharedStrings.xml><?xml version="1.0" encoding="utf-8"?>
<sst xmlns="http://schemas.openxmlformats.org/spreadsheetml/2006/main" count="71" uniqueCount="69">
  <si>
    <t xml:space="preserve">Lampiran 1 Petunjuk Teknis 0023.E/DIR/2025  tentang Pengelolaan Program Tanggung Jawab Sosial dan Lingkungan (TJSL) PT PLN Indonesia Power        </t>
  </si>
  <si>
    <t>Nomor   : Lampiran I, 0023.E/DIR/2025</t>
  </si>
  <si>
    <t>Tanggal: 30 Desember 2025</t>
  </si>
  <si>
    <t>LEMBAR EVALUASI BANTUAN TJSL</t>
  </si>
  <si>
    <t>ID Pengajuan:</t>
  </si>
  <si>
    <t xml:space="preserve">PEMOHON : </t>
  </si>
  <si>
    <t>PENILAI     :</t>
  </si>
  <si>
    <t>Wahyu Andrias</t>
  </si>
  <si>
    <t>PERIHAL    :</t>
  </si>
  <si>
    <t>TANGGAL  :</t>
  </si>
  <si>
    <t>NO</t>
  </si>
  <si>
    <t>KATEGORI PENILAIAN</t>
  </si>
  <si>
    <t xml:space="preserve">Nilai </t>
  </si>
  <si>
    <t>BOBOT</t>
  </si>
  <si>
    <t>TOTAL SKOR</t>
  </si>
  <si>
    <t>Tidak Signifikan</t>
  </si>
  <si>
    <t xml:space="preserve">Netral </t>
  </si>
  <si>
    <t>Signifikan</t>
  </si>
  <si>
    <t>N</t>
  </si>
  <si>
    <t>(NILAI x BOBOT)/3</t>
  </si>
  <si>
    <t xml:space="preserve">Lokasi Kegiatan </t>
  </si>
  <si>
    <t>Diluar wilayah perusahaan</t>
  </si>
  <si>
    <t>Berada diwilayah operasi Perusahaan</t>
  </si>
  <si>
    <t>Dekat unit pembangkit atau termasuk wilayah binaan Perusahaan</t>
  </si>
  <si>
    <t>x</t>
  </si>
  <si>
    <t>Jenis Program  yang diajukan</t>
  </si>
  <si>
    <t>Tidak bertentangan dengan kebijakan Perusahaan</t>
  </si>
  <si>
    <t>Sesuai dengan tujuan dan kebijakan Perusahaan</t>
  </si>
  <si>
    <t>Ada dalam rencana kegiatan dan mendukung pencapaian tujuan Perusahaan</t>
  </si>
  <si>
    <t>Lembaga Pemohon</t>
  </si>
  <si>
    <t>Tidak berkaitan dengan bisnis perusahan</t>
  </si>
  <si>
    <t xml:space="preserve">Mitra Kerja yang tidak memiliki pengaruh </t>
  </si>
  <si>
    <t>Berpengaruh thd operasi dan  kinerja perusahaan</t>
  </si>
  <si>
    <t xml:space="preserve">Kualifikasi Lembaga Pemohon </t>
  </si>
  <si>
    <t>Tidak memiliki badan hukum namun memiliki kelengkapan organisasi</t>
  </si>
  <si>
    <t>Memiliki badan hukum dan kelengkapan organisasi memadai</t>
  </si>
  <si>
    <t>Memiliki badan hukum, kelengkapan organisasi memadai dgn reputasi yang baik</t>
  </si>
  <si>
    <t xml:space="preserve">Penerima Manfaat Kegiatan </t>
  </si>
  <si>
    <t>Kelompok Binaan dan Masyarakat Luas</t>
  </si>
  <si>
    <t>Lembaga Pemohon, Kelompok Binaan dan Masyarakat Luas serta keluarga karyawan/personil PLN</t>
  </si>
  <si>
    <t>Jumlah Penerima  Manfaat</t>
  </si>
  <si>
    <t>&lt;10 Orang</t>
  </si>
  <si>
    <t>10-100 Orang</t>
  </si>
  <si>
    <t>&gt;100 Orang</t>
  </si>
  <si>
    <t xml:space="preserve">Partisipasi Bantuan </t>
  </si>
  <si>
    <t xml:space="preserve">Sepenuhnya dibebankan kepada Perusahaan atau lebih besar dari investasi lembaga pemohon </t>
  </si>
  <si>
    <t>Bantuan yang diminta sama besar dengan investasi lembaga pemohon</t>
  </si>
  <si>
    <t>Bantuan yang diminta lebih kecil dari investasi lembaga pemohon</t>
  </si>
  <si>
    <t xml:space="preserve">Nilai Manfaat </t>
  </si>
  <si>
    <t>sesaat hanya pada saat kegiatan dilaksanakan</t>
  </si>
  <si>
    <t xml:space="preserve"> Bermanfaat untuk jangka waktu tertentu</t>
  </si>
  <si>
    <t xml:space="preserve">Bermanfaat bagi pengembangan modal usaha dan pengembangan ke arah yang berkelanjutan </t>
  </si>
  <si>
    <t>Publikasi</t>
  </si>
  <si>
    <t>Kurang potensial untuk dipublikasikan</t>
  </si>
  <si>
    <t>Publikasi regional dan lokal</t>
  </si>
  <si>
    <t>Publikasi internasional dan nasional</t>
  </si>
  <si>
    <t>Skor Akhir</t>
  </si>
  <si>
    <t>ket : 0 - 50 = tidak direkomendasikan, 51 - 75 = Cukup untuk direkomendasikan dengan pertimbangan, 76 - 100 = Direkomendasikan</t>
  </si>
  <si>
    <r>
      <rPr>
        <b/>
        <u/>
        <sz val="11"/>
        <color theme="1"/>
        <rFont val="Arial"/>
      </rPr>
      <t xml:space="preserve">Catatan Penting / Rekomendasi </t>
    </r>
    <r>
      <rPr>
        <u/>
        <sz val="11"/>
        <color theme="1"/>
        <rFont val="Arial"/>
      </rPr>
      <t xml:space="preserve">: </t>
    </r>
  </si>
  <si>
    <t xml:space="preserve">Dievaluasi Oleh : </t>
  </si>
  <si>
    <t xml:space="preserve">Diperiksa / verifikasi oleh: </t>
  </si>
  <si>
    <t xml:space="preserve">Diputuskaan oleh:  </t>
  </si>
  <si>
    <t xml:space="preserve"> </t>
  </si>
  <si>
    <t>Officer Community Development</t>
  </si>
  <si>
    <t>Assistant Manager KAS</t>
  </si>
  <si>
    <t>Administration Manager</t>
  </si>
  <si>
    <t>WAHYU ANDRIAS</t>
  </si>
  <si>
    <t>ASTRI OKTAVINA</t>
  </si>
  <si>
    <t>DONNY UREANSYAH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</si>
</sst>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&quot; &quot;yyyy"/>
  </numFmts>
  <fonts count="18">
    <font>
      <sz val="10"/>
      <color rgb="FF000000"/>
      <name val="Arial"/>
      <scheme val="minor"/>
    </font>
    <font>
      <sz val="11"/>
      <color theme="1"/>
      <name val="Calibri"/>
    </font>
    <font>
      <sz val="9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Chianti BT"/>
    </font>
    <font>
      <sz val="11"/>
      <color rgb="FF3C4043"/>
      <name val="Arial"/>
      <scheme val="minor"/>
    </font>
    <font>
      <sz val="10"/>
      <color theme="1"/>
      <name val="Arial"/>
    </font>
    <font>
      <b/>
      <sz val="9"/>
      <color theme="1"/>
      <name val="Arial"/>
    </font>
    <font>
      <sz val="10"/>
      <name val="Arial"/>
    </font>
    <font>
      <b/>
      <sz val="8"/>
      <color theme="1"/>
      <name val="Arial"/>
    </font>
    <font>
      <sz val="10"/>
      <color theme="1"/>
      <name val="Times New Roman"/>
    </font>
    <font>
      <sz val="8"/>
      <color theme="1"/>
      <name val="Arial"/>
    </font>
    <font>
      <b/>
      <i/>
      <sz val="8"/>
      <color theme="1"/>
      <name val="Arial"/>
    </font>
    <font>
      <b/>
      <sz val="12"/>
      <color theme="1"/>
      <name val="Arial"/>
    </font>
    <font>
      <b/>
      <u/>
      <sz val="11"/>
      <color theme="1"/>
      <name val="Arial"/>
    </font>
    <font>
      <b/>
      <sz val="11"/>
      <color theme="1"/>
      <name val="Calibri"/>
    </font>
    <font>
      <u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2" borderId="0" xfId="0" applyFont="1" applyFill="1"/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15" fontId="5" fillId="0" borderId="0" xfId="0" applyNumberFormat="1" applyFont="1" applyAlignment="1">
      <alignment vertical="top"/>
    </xf>
    <xf numFmtId="0" fontId="8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wrapText="1"/>
    </xf>
    <xf numFmtId="0" fontId="8" fillId="3" borderId="5" xfId="0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13" fillId="0" borderId="5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vertical="top"/>
    </xf>
    <xf numFmtId="0" fontId="8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4" fillId="0" borderId="5" xfId="0" applyFont="1" applyBorder="1" applyAlignment="1">
      <alignment horizontal="right" vertical="center"/>
    </xf>
    <xf numFmtId="0" fontId="8" fillId="0" borderId="5" xfId="0" applyFont="1" applyBorder="1"/>
    <xf numFmtId="0" fontId="16" fillId="0" borderId="11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12" xfId="0" applyFont="1" applyBorder="1" applyAlignment="1">
      <alignment horizontal="left" vertical="top"/>
    </xf>
    <xf numFmtId="0" fontId="12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0" fontId="4" fillId="0" borderId="0" xfId="0" applyFont="1"/>
    <xf numFmtId="0" fontId="0" fillId="0" borderId="0" xfId="0"/>
    <xf numFmtId="0" fontId="8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164" fontId="1" fillId="0" borderId="0" xfId="0" applyNumberFormat="1" applyFont="1" applyAlignment="1">
      <alignment horizontal="left" vertical="top"/>
    </xf>
    <xf numFmtId="0" fontId="8" fillId="3" borderId="2" xfId="0" applyFont="1" applyFill="1" applyBorder="1" applyAlignment="1">
      <alignment horizontal="center" vertical="center"/>
    </xf>
    <xf numFmtId="0" fontId="9" fillId="0" borderId="6" xfId="0" applyFont="1" applyBorder="1"/>
    <xf numFmtId="0" fontId="8" fillId="0" borderId="2" xfId="0" applyFont="1" applyBorder="1"/>
    <xf numFmtId="0" fontId="15" fillId="0" borderId="8" xfId="0" applyFont="1" applyBorder="1" applyAlignment="1">
      <alignment vertical="top" wrapText="1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1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6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center"/>
    </xf>
    <xf numFmtId="2" fontId="1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66675</xdr:rowOff>
    </xdr:from>
    <xdr:ext cx="1123950" cy="8096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7"/>
  <sheetViews>
    <sheetView showGridLines="0" tabSelected="1" topLeftCell="A13" workbookViewId="0">
      <selection activeCell="I6" sqref="I6:J6"/>
    </sheetView>
  </sheetViews>
  <sheetFormatPr defaultColWidth="12.6328125" defaultRowHeight="15.75" customHeight="1"/>
  <cols>
    <col min="1" max="1" width="7.6328125" customWidth="1"/>
    <col min="2" max="2" width="9.6328125" customWidth="1"/>
    <col min="3" max="3" width="29.6328125" customWidth="1"/>
    <col min="4" max="14" width="4.36328125" customWidth="1"/>
    <col min="15" max="15" width="3.90625" customWidth="1"/>
    <col min="16" max="16" width="5.7265625" customWidth="1"/>
    <col min="17" max="17" width="6" customWidth="1"/>
    <col min="18" max="18" width="15.36328125" customWidth="1"/>
    <col min="19" max="27" width="7.6328125" customWidth="1"/>
  </cols>
  <sheetData>
    <row r="1" spans="1:27" ht="28.5" customHeight="1">
      <c r="I1" s="41" t="s">
        <v>0</v>
      </c>
      <c r="J1" s="37"/>
      <c r="K1" s="37"/>
      <c r="L1" s="37"/>
      <c r="M1" s="37"/>
      <c r="N1" s="37"/>
      <c r="O1" s="37"/>
      <c r="P1" s="37"/>
      <c r="Q1" s="37"/>
      <c r="R1" s="37"/>
      <c r="T1" s="1"/>
    </row>
    <row r="2" spans="1:27" ht="14.25" customHeight="1">
      <c r="I2" s="42" t="s">
        <v>1</v>
      </c>
      <c r="J2" s="37"/>
      <c r="K2" s="37"/>
      <c r="L2" s="37"/>
      <c r="M2" s="37"/>
      <c r="N2" s="37"/>
      <c r="O2" s="37"/>
      <c r="P2" s="37"/>
      <c r="Q2" s="37"/>
      <c r="R2" s="37"/>
      <c r="T2" s="1"/>
      <c r="U2" s="1"/>
    </row>
    <row r="3" spans="1:27" ht="14.25" customHeight="1">
      <c r="I3" s="42" t="s">
        <v>2</v>
      </c>
      <c r="J3" s="37"/>
      <c r="K3" s="37"/>
      <c r="L3" s="37"/>
      <c r="M3" s="37"/>
      <c r="N3" s="37"/>
      <c r="O3" s="37"/>
      <c r="P3" s="37"/>
      <c r="Q3" s="37"/>
      <c r="R3" s="37"/>
      <c r="T3" s="1"/>
      <c r="U3" s="1"/>
    </row>
    <row r="4" spans="1:27" ht="14.25" customHeight="1">
      <c r="I4" s="2"/>
      <c r="J4" s="2"/>
      <c r="K4" s="2"/>
      <c r="L4" s="2"/>
      <c r="M4" s="2"/>
      <c r="N4" s="2"/>
      <c r="O4" s="2"/>
      <c r="P4" s="2"/>
      <c r="Q4" s="2"/>
      <c r="R4" s="2"/>
      <c r="T4" s="1"/>
      <c r="U4" s="1"/>
    </row>
    <row r="5" spans="1:27" ht="14.25" customHeight="1">
      <c r="B5" s="43" t="s">
        <v>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27" ht="28.5" customHeight="1">
      <c r="A6" s="3"/>
      <c r="B6" s="3"/>
      <c r="C6" s="3"/>
      <c r="D6" s="3"/>
      <c r="E6" s="4"/>
      <c r="F6" s="4"/>
      <c r="G6" s="4" t="s">
        <v>4</v>
      </c>
      <c r="H6" s="4"/>
      <c r="I6" s="44">
        <v>375</v>
      </c>
      <c r="J6" s="37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B7" s="5" t="s">
        <v>5</v>
      </c>
      <c r="C7" s="6" t="str">
        <f ca="1">IFERROR(__xludf.DUMMYFUNCTION("IFERROR( QUERY('rekap pengajuan'!$C$2:$V957,""SELECT D WHERE C LIKE '""&amp;$I$6&amp;""' ""),)"),"Jambore Kader Posyandu Bidang Kesehatan")</f>
        <v>Jambore Kader Posyandu Bidang Kesehatan</v>
      </c>
      <c r="O7" s="7" t="s">
        <v>6</v>
      </c>
      <c r="P7" s="5"/>
      <c r="Q7" s="36" t="s">
        <v>7</v>
      </c>
      <c r="R7" s="37"/>
      <c r="T7" s="8"/>
      <c r="V7" s="8"/>
      <c r="W7" s="8"/>
      <c r="X7" s="8"/>
      <c r="Y7" s="8"/>
      <c r="Z7" s="8"/>
      <c r="AA7" s="8"/>
    </row>
    <row r="8" spans="1:27" ht="24" customHeight="1">
      <c r="A8" s="3"/>
      <c r="B8" s="7" t="s">
        <v>8</v>
      </c>
      <c r="C8" s="9" t="str">
        <f ca="1">IFERROR(__xludf.DUMMYFUNCTION("IFERROR( QUERY('rekap pengajuan'!$C$2:$V957,""SELECT E WHERE C LIKE '""&amp;$I$6&amp;""' ""),)"),"Partisipasi kegiatan Jambore Kader Posyandu Bidang Kesehatan Tahun 2026")</f>
        <v>Partisipasi kegiatan Jambore Kader Posyandu Bidang Kesehatan Tahun 2026</v>
      </c>
      <c r="D8" s="3"/>
      <c r="E8" s="3"/>
      <c r="F8" s="3"/>
      <c r="G8" s="3"/>
      <c r="H8" s="3"/>
      <c r="I8" s="3"/>
      <c r="J8" s="3"/>
      <c r="K8" s="3"/>
      <c r="L8" s="3"/>
      <c r="O8" s="7" t="s">
        <v>9</v>
      </c>
      <c r="P8" s="5"/>
      <c r="Q8" s="45">
        <v>46223</v>
      </c>
      <c r="R8" s="37"/>
      <c r="S8" s="37"/>
      <c r="T8" s="37"/>
      <c r="U8" s="3"/>
      <c r="V8" s="10"/>
      <c r="W8" s="10"/>
      <c r="X8" s="10"/>
      <c r="Y8" s="10"/>
      <c r="Z8" s="10"/>
      <c r="AA8" s="10"/>
    </row>
    <row r="9" spans="1:27" ht="14.25" customHeight="1">
      <c r="B9" s="38" t="s">
        <v>10</v>
      </c>
      <c r="C9" s="38" t="s">
        <v>11</v>
      </c>
      <c r="D9" s="46" t="s">
        <v>12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11"/>
      <c r="Q9" s="38" t="s">
        <v>13</v>
      </c>
      <c r="R9" s="40" t="s">
        <v>14</v>
      </c>
      <c r="S9" s="12"/>
    </row>
    <row r="10" spans="1:27" ht="14.25" customHeight="1">
      <c r="B10" s="47"/>
      <c r="C10" s="47"/>
      <c r="D10" s="46" t="s">
        <v>15</v>
      </c>
      <c r="E10" s="34"/>
      <c r="F10" s="34"/>
      <c r="G10" s="35"/>
      <c r="H10" s="46" t="s">
        <v>16</v>
      </c>
      <c r="I10" s="34"/>
      <c r="J10" s="34"/>
      <c r="K10" s="35"/>
      <c r="L10" s="46" t="s">
        <v>17</v>
      </c>
      <c r="M10" s="34"/>
      <c r="N10" s="34"/>
      <c r="O10" s="35"/>
      <c r="P10" s="11" t="s">
        <v>18</v>
      </c>
      <c r="Q10" s="39"/>
      <c r="R10" s="39"/>
      <c r="S10" s="12"/>
    </row>
    <row r="11" spans="1:27" ht="14.25" customHeight="1">
      <c r="B11" s="39"/>
      <c r="C11" s="39"/>
      <c r="D11" s="13">
        <v>0.25</v>
      </c>
      <c r="E11" s="13">
        <v>0.5</v>
      </c>
      <c r="F11" s="13">
        <v>0.75</v>
      </c>
      <c r="G11" s="13">
        <v>1</v>
      </c>
      <c r="H11" s="13">
        <v>1.25</v>
      </c>
      <c r="I11" s="13">
        <v>1.5</v>
      </c>
      <c r="J11" s="13">
        <v>1.75</v>
      </c>
      <c r="K11" s="13">
        <v>2</v>
      </c>
      <c r="L11" s="13">
        <v>2.25</v>
      </c>
      <c r="M11" s="13">
        <v>2.5</v>
      </c>
      <c r="N11" s="13">
        <v>2.75</v>
      </c>
      <c r="O11" s="13">
        <v>3</v>
      </c>
      <c r="P11" s="14"/>
      <c r="Q11" s="14"/>
      <c r="R11" s="14" t="s">
        <v>19</v>
      </c>
      <c r="S11" s="12"/>
    </row>
    <row r="12" spans="1:27" ht="36" customHeight="1">
      <c r="B12" s="15">
        <v>1</v>
      </c>
      <c r="C12" s="16" t="s">
        <v>20</v>
      </c>
      <c r="D12" s="33" t="s">
        <v>21</v>
      </c>
      <c r="E12" s="34"/>
      <c r="F12" s="34"/>
      <c r="G12" s="35"/>
      <c r="H12" s="33" t="s">
        <v>22</v>
      </c>
      <c r="I12" s="34"/>
      <c r="J12" s="34"/>
      <c r="K12" s="35"/>
      <c r="L12" s="33" t="s">
        <v>23</v>
      </c>
      <c r="M12" s="34"/>
      <c r="N12" s="34"/>
      <c r="O12" s="35"/>
      <c r="P12" s="17"/>
      <c r="Q12" s="18">
        <v>15</v>
      </c>
      <c r="R12" s="17"/>
      <c r="S12" s="12"/>
    </row>
    <row r="13" spans="1:27" ht="15" customHeight="1">
      <c r="B13" s="19"/>
      <c r="C13" s="20"/>
      <c r="D13" s="21" t="str">
        <f>IFERROR(IF(VLOOKUP($I$6,#REF!,2,FALSE)=D$11,"x",""),"")</f>
        <v/>
      </c>
      <c r="E13" s="21" t="str">
        <f>IFERROR(IF(VLOOKUP($I$6,#REF!,2,FALSE)=E$11,"x",""),"")</f>
        <v/>
      </c>
      <c r="F13" s="21" t="str">
        <f>IFERROR(IF(VLOOKUP($I$6,#REF!,2,FALSE)=F$11,"x",""),"")</f>
        <v/>
      </c>
      <c r="G13" s="21" t="str">
        <f>IFERROR(IF(VLOOKUP($I$6,#REF!,2,FALSE)=G$11,"x",""),"")</f>
        <v/>
      </c>
      <c r="H13" s="22"/>
      <c r="J13" s="21"/>
      <c r="K13" s="21"/>
      <c r="L13" s="21"/>
      <c r="M13" s="21"/>
      <c r="N13" s="21" t="str">
        <f>IFERROR(IF(VLOOKUP($I$6,#REF!,2,FALSE)=N$11,"x",""),"")</f>
        <v/>
      </c>
      <c r="P13" s="23">
        <f>SUMIF(D13:N13,"x",$D$11:O13)</f>
        <v>0</v>
      </c>
      <c r="Q13" s="21"/>
      <c r="R13" s="21">
        <f>(P13*Q12)</f>
        <v>0</v>
      </c>
      <c r="S13" s="12"/>
    </row>
    <row r="14" spans="1:27" ht="43.5" customHeight="1">
      <c r="B14" s="15">
        <v>2</v>
      </c>
      <c r="C14" s="16" t="s">
        <v>25</v>
      </c>
      <c r="D14" s="33" t="s">
        <v>26</v>
      </c>
      <c r="E14" s="34"/>
      <c r="F14" s="34"/>
      <c r="G14" s="35"/>
      <c r="H14" s="33" t="s">
        <v>27</v>
      </c>
      <c r="I14" s="34"/>
      <c r="J14" s="34"/>
      <c r="K14" s="35"/>
      <c r="L14" s="33" t="s">
        <v>28</v>
      </c>
      <c r="M14" s="34"/>
      <c r="N14" s="34"/>
      <c r="O14" s="35"/>
      <c r="P14" s="17"/>
      <c r="Q14" s="18">
        <v>20</v>
      </c>
      <c r="R14" s="24"/>
      <c r="S14" s="12"/>
    </row>
    <row r="15" spans="1:27" ht="15" customHeight="1">
      <c r="B15" s="19"/>
      <c r="C15" s="20"/>
      <c r="D15" s="21" t="str">
        <f>IFERROR(IF(VLOOKUP($I$6,#REF!,3,FALSE)=D$11,"x",""),"")</f>
        <v/>
      </c>
      <c r="E15" s="21" t="str">
        <f>IFERROR(IF(VLOOKUP($I$6,#REF!,3,FALSE)=E$11,"x",""),"")</f>
        <v/>
      </c>
      <c r="F15" s="21" t="str">
        <f>IFERROR(IF(VLOOKUP($I$6,#REF!,3,FALSE)=F$11,"x",""),"")</f>
        <v/>
      </c>
      <c r="G15" s="21" t="str">
        <f>IFERROR(IF(VLOOKUP($I$6,#REF!,3,FALSE)=G$11,"x",""),"")</f>
        <v/>
      </c>
      <c r="H15" s="21"/>
      <c r="I15" s="22"/>
      <c r="J15" s="21"/>
      <c r="L15" s="21" t="str">
        <f>IFERROR(IF(VLOOKUP($I$6,#REF!,3,FALSE)=L$11,"x",""),"")</f>
        <v/>
      </c>
      <c r="M15" s="21" t="str">
        <f>IFERROR(IF(VLOOKUP($I$6,#REF!,3,FALSE)=M$11,"x",""),"")</f>
        <v/>
      </c>
      <c r="N15" s="21"/>
      <c r="O15" s="21"/>
      <c r="P15" s="23">
        <f>SUMIF(D15:O15,"x",$D$11:O15)</f>
        <v>0</v>
      </c>
      <c r="Q15" s="21"/>
      <c r="R15" s="21">
        <f>(P15*Q14)</f>
        <v>0</v>
      </c>
      <c r="S15" s="12"/>
    </row>
    <row r="16" spans="1:27" ht="36" customHeight="1">
      <c r="B16" s="15">
        <v>3</v>
      </c>
      <c r="C16" s="16" t="s">
        <v>29</v>
      </c>
      <c r="D16" s="33" t="s">
        <v>30</v>
      </c>
      <c r="E16" s="34"/>
      <c r="F16" s="34"/>
      <c r="G16" s="35"/>
      <c r="H16" s="33" t="s">
        <v>31</v>
      </c>
      <c r="I16" s="34"/>
      <c r="J16" s="34"/>
      <c r="K16" s="35"/>
      <c r="L16" s="33" t="s">
        <v>32</v>
      </c>
      <c r="M16" s="34"/>
      <c r="N16" s="34"/>
      <c r="O16" s="35"/>
      <c r="P16" s="17"/>
      <c r="Q16" s="18">
        <v>10</v>
      </c>
      <c r="R16" s="24"/>
      <c r="S16" s="12"/>
    </row>
    <row r="17" spans="2:19" ht="15" customHeight="1">
      <c r="B17" s="25"/>
      <c r="C17" s="20"/>
      <c r="D17" s="21" t="str">
        <f>IFERROR(IF(VLOOKUP($I$6,#REF!,4,FALSE)=D$11,"x",""),"")</f>
        <v/>
      </c>
      <c r="E17" s="21" t="str">
        <f>IFERROR(IF(VLOOKUP($I$6,#REF!,4,FALSE)=E$11,"x",""),"")</f>
        <v/>
      </c>
      <c r="F17" s="21" t="str">
        <f>IFERROR(IF(VLOOKUP($I$6,#REF!,4,FALSE)=F$11,"x",""),"")</f>
        <v/>
      </c>
      <c r="G17" s="21" t="str">
        <f>IFERROR(IF(VLOOKUP($I$6,#REF!,4,FALSE)=G$11,"x",""),"")</f>
        <v/>
      </c>
      <c r="H17" s="21"/>
      <c r="J17" s="21"/>
      <c r="K17" s="22"/>
      <c r="L17" s="21"/>
      <c r="M17" s="21" t="str">
        <f>IFERROR(IF(VLOOKUP($I$6,#REF!,4,FALSE)=M$11,"x",""),"")</f>
        <v/>
      </c>
      <c r="N17" s="21" t="str">
        <f>IFERROR(IF(VLOOKUP($I$6,#REF!,4,FALSE)=N$11,"x",""),"")</f>
        <v/>
      </c>
      <c r="O17" s="21"/>
      <c r="P17" s="23">
        <f>SUMIF(D17:O17,"x",$D$11:O17)</f>
        <v>0</v>
      </c>
      <c r="Q17" s="21"/>
      <c r="R17" s="21">
        <f>(P17*Q16)</f>
        <v>0</v>
      </c>
      <c r="S17" s="12"/>
    </row>
    <row r="18" spans="2:19" ht="42.75" customHeight="1">
      <c r="B18" s="15">
        <v>4</v>
      </c>
      <c r="C18" s="16" t="s">
        <v>33</v>
      </c>
      <c r="D18" s="33" t="s">
        <v>34</v>
      </c>
      <c r="E18" s="34"/>
      <c r="F18" s="34"/>
      <c r="G18" s="35"/>
      <c r="H18" s="33" t="s">
        <v>35</v>
      </c>
      <c r="I18" s="34"/>
      <c r="J18" s="34"/>
      <c r="K18" s="35"/>
      <c r="L18" s="33" t="s">
        <v>36</v>
      </c>
      <c r="M18" s="34"/>
      <c r="N18" s="34"/>
      <c r="O18" s="35"/>
      <c r="P18" s="17"/>
      <c r="Q18" s="18">
        <v>5</v>
      </c>
      <c r="R18" s="24"/>
      <c r="S18" s="12"/>
    </row>
    <row r="19" spans="2:19" ht="15" customHeight="1">
      <c r="B19" s="25"/>
      <c r="C19" s="20"/>
      <c r="D19" s="21" t="str">
        <f>IFERROR(IF(VLOOKUP($I$6,#REF!,5,FALSE)=D$11,"x",""),"")</f>
        <v/>
      </c>
      <c r="E19" s="21" t="str">
        <f>IFERROR(IF(VLOOKUP($I$6,#REF!,5,FALSE)=E$11,"x",""),"")</f>
        <v/>
      </c>
      <c r="F19" s="21" t="str">
        <f>IFERROR(IF(VLOOKUP($I$6,#REF!,5,FALSE)=F$11,"x",""),"")</f>
        <v/>
      </c>
      <c r="G19" s="21" t="str">
        <f>IFERROR(IF(VLOOKUP($I$6,#REF!,5,FALSE)=G$11,"x",""),"")</f>
        <v/>
      </c>
      <c r="H19" s="21" t="str">
        <f>IFERROR(IF(VLOOKUP($I$6,#REF!,5,FALSE)=H$11,"x",""),"")</f>
        <v/>
      </c>
      <c r="I19" s="21"/>
      <c r="J19" s="21"/>
      <c r="K19" s="21"/>
      <c r="M19" s="21"/>
      <c r="N19" s="21" t="str">
        <f>IFERROR(IF(VLOOKUP($I$6,#REF!,5,FALSE)=N$11,"x",""),"")</f>
        <v/>
      </c>
      <c r="O19" s="21"/>
      <c r="P19" s="23">
        <f>SUMIF(D19:O19,"x",$D$11:O19)</f>
        <v>0</v>
      </c>
      <c r="Q19" s="21"/>
      <c r="R19" s="21">
        <f>(P19*Q18)</f>
        <v>0</v>
      </c>
      <c r="S19" s="12"/>
    </row>
    <row r="20" spans="2:19" ht="56.25" customHeight="1">
      <c r="B20" s="15">
        <v>5</v>
      </c>
      <c r="C20" s="16" t="s">
        <v>37</v>
      </c>
      <c r="D20" s="33" t="s">
        <v>29</v>
      </c>
      <c r="E20" s="34"/>
      <c r="F20" s="34"/>
      <c r="G20" s="35"/>
      <c r="H20" s="33" t="s">
        <v>38</v>
      </c>
      <c r="I20" s="34"/>
      <c r="J20" s="34"/>
      <c r="K20" s="35"/>
      <c r="L20" s="33" t="s">
        <v>39</v>
      </c>
      <c r="M20" s="34"/>
      <c r="N20" s="34"/>
      <c r="O20" s="35"/>
      <c r="P20" s="17"/>
      <c r="Q20" s="18">
        <v>15</v>
      </c>
      <c r="R20" s="24"/>
      <c r="S20" s="12"/>
    </row>
    <row r="21" spans="2:19" ht="15" customHeight="1">
      <c r="B21" s="25"/>
      <c r="C21" s="20"/>
      <c r="D21" s="21" t="str">
        <f>IFERROR(IF(VLOOKUP($I$6,#REF!,6,FALSE)=D$11,"x",""),"")</f>
        <v/>
      </c>
      <c r="E21" s="21" t="str">
        <f>IFERROR(IF(VLOOKUP($I$6,#REF!,6,FALSE)=E$11,"x",""),"")</f>
        <v/>
      </c>
      <c r="F21" s="21"/>
      <c r="G21" s="21" t="str">
        <f>IFERROR(IF(VLOOKUP($I$6,#REF!,6,FALSE)=G$11,"x",""),"")</f>
        <v/>
      </c>
      <c r="H21" s="21" t="str">
        <f>IFERROR(IF(VLOOKUP($I$6,#REF!,6,FALSE)=H$11,"x",""),"")</f>
        <v/>
      </c>
      <c r="I21" s="21"/>
      <c r="J21" s="21"/>
      <c r="K21" s="21"/>
      <c r="L21" s="21" t="str">
        <f>IFERROR(IF(VLOOKUP($I$6,#REF!,6,FALSE)=L$11,"x",""),"")</f>
        <v/>
      </c>
      <c r="M21" s="21"/>
      <c r="N21" s="21" t="s">
        <v>24</v>
      </c>
      <c r="O21" s="21"/>
      <c r="P21" s="23">
        <f>SUMIF(D21:O21,"x",$D$11:O21)</f>
        <v>2.75</v>
      </c>
      <c r="Q21" s="21"/>
      <c r="R21" s="21">
        <f>(P21*Q20)</f>
        <v>41.25</v>
      </c>
      <c r="S21" s="12"/>
    </row>
    <row r="22" spans="2:19" ht="32.25" customHeight="1">
      <c r="B22" s="15">
        <v>6</v>
      </c>
      <c r="C22" s="16" t="s">
        <v>40</v>
      </c>
      <c r="D22" s="33" t="s">
        <v>41</v>
      </c>
      <c r="E22" s="34"/>
      <c r="F22" s="34"/>
      <c r="G22" s="35"/>
      <c r="H22" s="33" t="s">
        <v>42</v>
      </c>
      <c r="I22" s="34"/>
      <c r="J22" s="34"/>
      <c r="K22" s="35"/>
      <c r="L22" s="33" t="s">
        <v>43</v>
      </c>
      <c r="M22" s="34"/>
      <c r="N22" s="34"/>
      <c r="O22" s="35"/>
      <c r="P22" s="17"/>
      <c r="Q22" s="18">
        <v>5</v>
      </c>
      <c r="R22" s="24"/>
      <c r="S22" s="12"/>
    </row>
    <row r="23" spans="2:19" ht="15" customHeight="1">
      <c r="B23" s="25"/>
      <c r="C23" s="20"/>
      <c r="D23" s="21" t="str">
        <f>IFERROR(IF(VLOOKUP($I$6,#REF!,7,FALSE)=D$11,"x",""),"")</f>
        <v/>
      </c>
      <c r="E23" s="21" t="str">
        <f>IFERROR(IF(VLOOKUP($I$6,#REF!,7,FALSE)=E$11,"x",""),"")</f>
        <v/>
      </c>
      <c r="F23" s="21" t="str">
        <f>IFERROR(IF(VLOOKUP($I$6,#REF!,7,FALSE)=F$11,"x",""),"")</f>
        <v/>
      </c>
      <c r="G23" s="21" t="str">
        <f>IFERROR(IF(VLOOKUP($I$6,#REF!,7,FALSE)=G$11,"x",""),"")</f>
        <v/>
      </c>
      <c r="H23" s="21" t="str">
        <f>IFERROR(IF(VLOOKUP($I$6,#REF!,7,FALSE)=H$11,"x",""),"")</f>
        <v/>
      </c>
      <c r="I23" s="21"/>
      <c r="K23" s="21"/>
      <c r="L23" s="21"/>
      <c r="M23" s="21"/>
      <c r="N23" s="21"/>
      <c r="O23" s="21" t="str">
        <f>IFERROR(IF(VLOOKUP($I$6,#REF!,7,FALSE)=O$11,"x",""),"")</f>
        <v/>
      </c>
      <c r="P23" s="23">
        <f>SUMIF(D23:O23,"x",$D$11:O23)</f>
        <v>0</v>
      </c>
      <c r="Q23" s="21"/>
      <c r="R23" s="21">
        <f>(P23*Q22)</f>
        <v>0</v>
      </c>
      <c r="S23" s="12"/>
    </row>
    <row r="24" spans="2:19" ht="51" customHeight="1">
      <c r="B24" s="15">
        <v>7</v>
      </c>
      <c r="C24" s="16" t="s">
        <v>44</v>
      </c>
      <c r="D24" s="33" t="s">
        <v>45</v>
      </c>
      <c r="E24" s="34"/>
      <c r="F24" s="34"/>
      <c r="G24" s="35"/>
      <c r="H24" s="33" t="s">
        <v>46</v>
      </c>
      <c r="I24" s="34"/>
      <c r="J24" s="34"/>
      <c r="K24" s="35"/>
      <c r="L24" s="33" t="s">
        <v>47</v>
      </c>
      <c r="M24" s="34"/>
      <c r="N24" s="34"/>
      <c r="O24" s="35"/>
      <c r="P24" s="17"/>
      <c r="Q24" s="18">
        <v>5</v>
      </c>
      <c r="R24" s="24"/>
      <c r="S24" s="12"/>
    </row>
    <row r="25" spans="2:19" ht="15" customHeight="1">
      <c r="B25" s="25"/>
      <c r="C25" s="20"/>
      <c r="D25" s="21" t="str">
        <f>IFERROR(IF(VLOOKUP($I$6,#REF!,8,FALSE)=D$11,"x",""),"")</f>
        <v/>
      </c>
      <c r="E25" s="21" t="str">
        <f>IFERROR(IF(VLOOKUP($I$6,#REF!,8,FALSE)=E$11,"x",""),"")</f>
        <v/>
      </c>
      <c r="F25" s="21" t="str">
        <f>IFERROR(IF(VLOOKUP($I$6,#REF!,8,FALSE)=F$11,"x",""),"")</f>
        <v/>
      </c>
      <c r="G25" s="21"/>
      <c r="H25" s="22"/>
      <c r="I25" s="22"/>
      <c r="J25" s="21"/>
      <c r="K25" s="21"/>
      <c r="L25" s="21" t="str">
        <f>IFERROR(IF(VLOOKUP($I$6,#REF!,8,FALSE)=L$11,"x",""),"")</f>
        <v/>
      </c>
      <c r="M25" s="21" t="str">
        <f>IFERROR(IF(VLOOKUP($I$6,#REF!,8,FALSE)=M$11,"x",""),"")</f>
        <v/>
      </c>
      <c r="N25" s="21"/>
      <c r="O25" s="21"/>
      <c r="P25" s="23">
        <f>SUMIF(D25:O25,"x",$D$11:O25)</f>
        <v>0</v>
      </c>
      <c r="Q25" s="21"/>
      <c r="R25" s="21">
        <f>(P25*Q24)</f>
        <v>0</v>
      </c>
      <c r="S25" s="12"/>
    </row>
    <row r="26" spans="2:19" ht="53.25" customHeight="1">
      <c r="B26" s="15">
        <v>8</v>
      </c>
      <c r="C26" s="16" t="s">
        <v>48</v>
      </c>
      <c r="D26" s="33" t="s">
        <v>49</v>
      </c>
      <c r="E26" s="34"/>
      <c r="F26" s="34"/>
      <c r="G26" s="35"/>
      <c r="H26" s="33" t="s">
        <v>50</v>
      </c>
      <c r="I26" s="34"/>
      <c r="J26" s="34"/>
      <c r="K26" s="35"/>
      <c r="L26" s="33" t="s">
        <v>51</v>
      </c>
      <c r="M26" s="34"/>
      <c r="N26" s="34"/>
      <c r="O26" s="35"/>
      <c r="P26" s="17"/>
      <c r="Q26" s="18">
        <v>15</v>
      </c>
      <c r="R26" s="24"/>
      <c r="S26" s="12"/>
    </row>
    <row r="27" spans="2:19" ht="15" customHeight="1">
      <c r="B27" s="25"/>
      <c r="C27" s="20"/>
      <c r="D27" s="21" t="str">
        <f>IFERROR(IF(VLOOKUP($I$6,#REF!,9,FALSE)=D$11,"x",""),"")</f>
        <v/>
      </c>
      <c r="E27" s="21" t="str">
        <f>IFERROR(IF(VLOOKUP($I$6,#REF!,9,FALSE)=E$11,"x",""),"")</f>
        <v/>
      </c>
      <c r="F27" s="21" t="str">
        <f>IFERROR(IF(VLOOKUP($I$6,#REF!,9,FALSE)=F$11,"x",""),"")</f>
        <v/>
      </c>
      <c r="G27" s="21" t="str">
        <f>IFERROR(IF(VLOOKUP($I$6,#REF!,9,FALSE)=G$11,"x",""),"")</f>
        <v/>
      </c>
      <c r="H27" s="21" t="str">
        <f>IFERROR(IF(VLOOKUP($I$6,#REF!,9,FALSE)=H$11,"x",""),"")</f>
        <v/>
      </c>
      <c r="I27" s="22"/>
      <c r="J27" s="21"/>
      <c r="L27" s="21"/>
      <c r="M27" s="21" t="str">
        <f>IFERROR(IF(VLOOKUP($I$6,#REF!,9,FALSE)=M$11,"x",""),"")</f>
        <v/>
      </c>
      <c r="N27" s="21" t="str">
        <f>IFERROR(IF(VLOOKUP($I$6,#REF!,9,FALSE)=N$11,"x",""),"")</f>
        <v/>
      </c>
      <c r="O27" s="21"/>
      <c r="P27" s="23">
        <f>SUMIF(D27:O27,"x",$D$11:O27)</f>
        <v>0</v>
      </c>
      <c r="Q27" s="21"/>
      <c r="R27" s="21">
        <f>(P27*Q26)</f>
        <v>0</v>
      </c>
      <c r="S27" s="12"/>
    </row>
    <row r="28" spans="2:19" ht="51" customHeight="1">
      <c r="B28" s="15">
        <v>9</v>
      </c>
      <c r="C28" s="16" t="s">
        <v>52</v>
      </c>
      <c r="D28" s="33" t="s">
        <v>53</v>
      </c>
      <c r="E28" s="34"/>
      <c r="F28" s="34"/>
      <c r="G28" s="35"/>
      <c r="H28" s="33" t="s">
        <v>54</v>
      </c>
      <c r="I28" s="34"/>
      <c r="J28" s="34"/>
      <c r="K28" s="35"/>
      <c r="L28" s="33" t="s">
        <v>55</v>
      </c>
      <c r="M28" s="34"/>
      <c r="N28" s="34"/>
      <c r="O28" s="35"/>
      <c r="P28" s="18"/>
      <c r="Q28" s="18">
        <v>10</v>
      </c>
      <c r="R28" s="26"/>
      <c r="S28" s="12"/>
    </row>
    <row r="29" spans="2:19" ht="15" customHeight="1">
      <c r="B29" s="27"/>
      <c r="C29" s="20"/>
      <c r="D29" s="21" t="str">
        <f>IFERROR(IF(VLOOKUP($I$6,#REF!,10,FALSE)=D$11,"x",""),"")</f>
        <v/>
      </c>
      <c r="E29" s="21" t="str">
        <f>IFERROR(IF(VLOOKUP($I$6,#REF!,10,FALSE)=E$11,"x",""),"")</f>
        <v/>
      </c>
      <c r="F29" s="21" t="str">
        <f>IFERROR(IF(VLOOKUP($I$6,#REF!,10,FALSE)=F$11,"x",""),"")</f>
        <v/>
      </c>
      <c r="G29" s="21" t="str">
        <f>IFERROR(IF(VLOOKUP($I$6,#REF!,10,FALSE)=G$11,"x",""),"")</f>
        <v/>
      </c>
      <c r="H29" s="21" t="str">
        <f>IFERROR(IF(VLOOKUP($I$6,#REF!,10,FALSE)=H$11,"x",""),"")</f>
        <v/>
      </c>
      <c r="I29" s="21"/>
      <c r="J29" s="22"/>
      <c r="L29" s="21"/>
      <c r="M29" s="21" t="str">
        <f>IFERROR(IF(VLOOKUP($I$6,#REF!,10,FALSE)=M$11,"x",""),"")</f>
        <v/>
      </c>
      <c r="N29" s="21" t="str">
        <f>IFERROR(IF(VLOOKUP($I$6,#REF!,10,FALSE)=N$11,"x",""),"")</f>
        <v/>
      </c>
      <c r="O29" s="21"/>
      <c r="P29" s="23">
        <f>SUMIF(D29:O29,"x",$D$11:O29)</f>
        <v>0</v>
      </c>
      <c r="Q29" s="21">
        <f>SUM(Q12:Q28)</f>
        <v>100</v>
      </c>
      <c r="R29" s="21">
        <f>P29*Q28</f>
        <v>0</v>
      </c>
      <c r="S29" s="12"/>
    </row>
    <row r="30" spans="2:19" ht="35.25" customHeight="1">
      <c r="B30" s="65" t="s">
        <v>56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5"/>
      <c r="P30" s="28"/>
      <c r="Q30" s="66">
        <f>SUM(R13:R29)/3</f>
        <v>13.75</v>
      </c>
      <c r="R30" s="35"/>
      <c r="S30" s="12"/>
    </row>
    <row r="31" spans="2:19" ht="29.25" customHeight="1">
      <c r="B31" s="67" t="s">
        <v>57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5"/>
      <c r="S31" s="12"/>
    </row>
    <row r="32" spans="2:19" ht="14.25" customHeight="1">
      <c r="B32" s="48"/>
      <c r="C32" s="35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5"/>
      <c r="Q32" s="25"/>
      <c r="R32" s="25"/>
      <c r="S32" s="12"/>
    </row>
    <row r="33" spans="2:19" ht="12.75" customHeight="1">
      <c r="B33" s="49" t="s">
        <v>58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  <c r="S33" s="12"/>
    </row>
    <row r="34" spans="2:19" ht="14.25" customHeight="1">
      <c r="B34" s="52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53"/>
      <c r="S34" s="12"/>
    </row>
    <row r="35" spans="2:19" ht="39" customHeight="1"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/>
      <c r="S35" s="12"/>
    </row>
    <row r="36" spans="2:19" ht="27.75" customHeight="1">
      <c r="B36" s="59" t="s">
        <v>59</v>
      </c>
      <c r="C36" s="51"/>
      <c r="D36" s="60" t="s">
        <v>60</v>
      </c>
      <c r="E36" s="34"/>
      <c r="F36" s="34"/>
      <c r="G36" s="34"/>
      <c r="H36" s="34"/>
      <c r="I36" s="34"/>
      <c r="J36" s="34"/>
      <c r="K36" s="35"/>
      <c r="L36" s="61" t="s">
        <v>61</v>
      </c>
      <c r="M36" s="50"/>
      <c r="N36" s="50"/>
      <c r="O36" s="50"/>
      <c r="P36" s="50"/>
      <c r="Q36" s="50"/>
      <c r="R36" s="51"/>
      <c r="S36" s="12"/>
    </row>
    <row r="37" spans="2:19" ht="14.25" customHeight="1">
      <c r="B37" s="62" t="s">
        <v>62</v>
      </c>
      <c r="C37" s="50"/>
      <c r="D37" s="63" t="s">
        <v>62</v>
      </c>
      <c r="E37" s="50"/>
      <c r="F37" s="50"/>
      <c r="G37" s="50"/>
      <c r="H37" s="50"/>
      <c r="I37" s="50"/>
      <c r="J37" s="50"/>
      <c r="K37" s="50"/>
      <c r="L37" s="64" t="str">
        <f>IF(Q30&lt;=50,"Permohonan Ditolak","Permohonan Disetujui")</f>
        <v>Permohonan Ditolak</v>
      </c>
      <c r="M37" s="34"/>
      <c r="N37" s="34"/>
      <c r="O37" s="34"/>
      <c r="P37" s="34"/>
      <c r="Q37" s="34"/>
      <c r="R37" s="35"/>
    </row>
    <row r="38" spans="2:19" ht="14.25" customHeight="1">
      <c r="B38" s="52"/>
      <c r="C38" s="37"/>
      <c r="D38" s="52"/>
      <c r="E38" s="37"/>
      <c r="F38" s="37"/>
      <c r="G38" s="37"/>
      <c r="H38" s="37"/>
      <c r="I38" s="37"/>
      <c r="J38" s="37"/>
      <c r="K38" s="37"/>
      <c r="L38" s="30"/>
      <c r="M38" s="31"/>
      <c r="N38" s="31"/>
      <c r="O38" s="31"/>
      <c r="P38" s="31"/>
      <c r="Q38" s="31"/>
      <c r="R38" s="32"/>
    </row>
    <row r="39" spans="2:19" ht="14.25" customHeight="1">
      <c r="B39" s="52"/>
      <c r="C39" s="37"/>
      <c r="D39" s="52"/>
      <c r="E39" s="37"/>
      <c r="F39" s="37"/>
      <c r="G39" s="37"/>
      <c r="H39" s="37"/>
      <c r="I39" s="37"/>
      <c r="J39" s="37"/>
      <c r="K39" s="37"/>
      <c r="L39" s="30"/>
      <c r="M39" s="31"/>
      <c r="N39" s="31"/>
      <c r="O39" s="31"/>
      <c r="P39" s="31"/>
      <c r="Q39" s="31"/>
      <c r="R39" s="32"/>
    </row>
    <row r="40" spans="2:19" ht="47.25" customHeight="1">
      <c r="B40" s="52"/>
      <c r="C40" s="37"/>
      <c r="D40" s="52"/>
      <c r="E40" s="37"/>
      <c r="F40" s="37"/>
      <c r="G40" s="37"/>
      <c r="H40" s="37"/>
      <c r="I40" s="37"/>
      <c r="J40" s="37"/>
      <c r="K40" s="37"/>
      <c r="L40" s="30"/>
      <c r="M40" s="31"/>
      <c r="N40" s="31"/>
      <c r="O40" s="31"/>
      <c r="P40" s="31"/>
      <c r="Q40" s="31"/>
      <c r="R40" s="32"/>
    </row>
    <row r="41" spans="2:19" ht="14.25" customHeight="1">
      <c r="B41" s="57" t="s">
        <v>63</v>
      </c>
      <c r="C41" s="35"/>
      <c r="D41" s="57" t="s">
        <v>64</v>
      </c>
      <c r="E41" s="34"/>
      <c r="F41" s="34"/>
      <c r="G41" s="34"/>
      <c r="H41" s="34"/>
      <c r="I41" s="34"/>
      <c r="J41" s="34"/>
      <c r="K41" s="35"/>
      <c r="L41" s="58" t="s">
        <v>65</v>
      </c>
      <c r="M41" s="34"/>
      <c r="N41" s="34"/>
      <c r="O41" s="34"/>
      <c r="P41" s="34"/>
      <c r="Q41" s="34"/>
      <c r="R41" s="35"/>
    </row>
    <row r="42" spans="2:19" ht="14.25" customHeight="1">
      <c r="B42" s="58" t="s">
        <v>66</v>
      </c>
      <c r="C42" s="35"/>
      <c r="D42" s="58" t="s">
        <v>67</v>
      </c>
      <c r="E42" s="34"/>
      <c r="F42" s="34"/>
      <c r="G42" s="34"/>
      <c r="H42" s="34"/>
      <c r="I42" s="34"/>
      <c r="J42" s="34"/>
      <c r="K42" s="35"/>
      <c r="L42" s="58" t="s">
        <v>68</v>
      </c>
      <c r="M42" s="34"/>
      <c r="N42" s="34"/>
      <c r="O42" s="34"/>
      <c r="P42" s="34"/>
      <c r="Q42" s="34"/>
      <c r="R42" s="35"/>
    </row>
    <row r="43" spans="2:19" ht="14.25" customHeight="1"/>
    <row r="44" spans="2:19" ht="14.25" customHeight="1"/>
    <row r="45" spans="2:19" ht="14.25" customHeight="1"/>
    <row r="46" spans="2:19" ht="14.25" customHeight="1"/>
    <row r="47" spans="2:19" ht="14.25" customHeight="1"/>
    <row r="48" spans="2:1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</sheetData>
  <mergeCells count="59">
    <mergeCell ref="H28:K28"/>
    <mergeCell ref="L28:O28"/>
    <mergeCell ref="B30:O30"/>
    <mergeCell ref="Q30:R30"/>
    <mergeCell ref="B31:R31"/>
    <mergeCell ref="D28:G28"/>
    <mergeCell ref="B32:C32"/>
    <mergeCell ref="B33:R35"/>
    <mergeCell ref="D41:K41"/>
    <mergeCell ref="L41:R41"/>
    <mergeCell ref="B42:C42"/>
    <mergeCell ref="D42:K42"/>
    <mergeCell ref="L42:R42"/>
    <mergeCell ref="B36:C36"/>
    <mergeCell ref="D36:K36"/>
    <mergeCell ref="L36:R36"/>
    <mergeCell ref="B37:C40"/>
    <mergeCell ref="D37:K40"/>
    <mergeCell ref="L37:R37"/>
    <mergeCell ref="B41:C41"/>
    <mergeCell ref="Q7:R7"/>
    <mergeCell ref="Q9:Q10"/>
    <mergeCell ref="R9:R10"/>
    <mergeCell ref="I1:R1"/>
    <mergeCell ref="I2:R2"/>
    <mergeCell ref="I3:R3"/>
    <mergeCell ref="B5:R5"/>
    <mergeCell ref="I6:J6"/>
    <mergeCell ref="Q8:T8"/>
    <mergeCell ref="D9:O9"/>
    <mergeCell ref="B9:B11"/>
    <mergeCell ref="C9:C11"/>
    <mergeCell ref="D10:G10"/>
    <mergeCell ref="H10:K10"/>
    <mergeCell ref="L10:O10"/>
    <mergeCell ref="H12:K12"/>
    <mergeCell ref="L12:O12"/>
    <mergeCell ref="D12:G12"/>
    <mergeCell ref="D14:G14"/>
    <mergeCell ref="H14:K14"/>
    <mergeCell ref="L14:O14"/>
    <mergeCell ref="D16:G16"/>
    <mergeCell ref="H16:K16"/>
    <mergeCell ref="L16:O16"/>
    <mergeCell ref="H22:K22"/>
    <mergeCell ref="L22:O22"/>
    <mergeCell ref="D18:G18"/>
    <mergeCell ref="H18:K18"/>
    <mergeCell ref="L18:O18"/>
    <mergeCell ref="D20:G20"/>
    <mergeCell ref="H20:K20"/>
    <mergeCell ref="L20:O20"/>
    <mergeCell ref="D22:G22"/>
    <mergeCell ref="D24:G24"/>
    <mergeCell ref="H24:K24"/>
    <mergeCell ref="L24:O24"/>
    <mergeCell ref="D26:G26"/>
    <mergeCell ref="H26:K26"/>
    <mergeCell ref="L26:O26"/>
  </mergeCells>
  <pageMargins left="0.25" right="0.25" top="0.75" bottom="0.75" header="0" footer="0"/>
  <pageSetup paperSize="9" scale="65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#REF!</xm:f>
          </x14:formula1>
          <xm:sqref>I6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Eval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Kareen Divanya Permadhie</dc:creator>
  <cp:lastModifiedBy>KAREEN DIVANYA PERMADHIE</cp:lastModifiedBy>
  <dcterms:created xsi:type="dcterms:W3CDTF">2026-07-21T07:27:20Z</dcterms:created>
  <dcterms:modified xsi:type="dcterms:W3CDTF">2026-07-23T02:57:07Z</dcterms:modified>
</cp:coreProperties>
</file>